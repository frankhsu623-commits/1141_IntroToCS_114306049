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k\cs\"/>
    </mc:Choice>
  </mc:AlternateContent>
  <xr:revisionPtr revIDLastSave="0" documentId="8_{BF67FB36-0715-40CF-AAFE-188DDE03F2C1}" xr6:coauthVersionLast="47" xr6:coauthVersionMax="47" xr10:uidLastSave="{00000000-0000-0000-0000-000000000000}"/>
  <bookViews>
    <workbookView xWindow="-110" yWindow="-110" windowWidth="19420" windowHeight="10300" xr2:uid="{60C2E2F6-AD98-4042-9BF5-DA3DB7B4AD4C}"/>
  </bookViews>
  <sheets>
    <sheet name="工作表1" sheetId="1" r:id="rId1"/>
  </sheets>
  <definedNames>
    <definedName name="_xlchart.v1.0" hidden="1">工作表1!$L$14:$L$15</definedName>
    <definedName name="_xlchart.v1.1" hidden="1">工作表1!$M$14:$M$15</definedName>
    <definedName name="_xlchart.v1.2" hidden="1">工作表1!$L$14:$L$15</definedName>
    <definedName name="_xlchart.v1.3" hidden="1">工作表1!$M$14:$M$15</definedName>
    <definedName name="_xlchart.v1.4" hidden="1">工作表1!$L$14:$L$15</definedName>
    <definedName name="_xlchart.v1.5" hidden="1">工作表1!$M$14:$M$15</definedName>
    <definedName name="_xlchart.v1.6" hidden="1">工作表1!$L$14:$L$15</definedName>
    <definedName name="_xlchart.v1.7" hidden="1">工作表1!$M$14:$M$15</definedName>
    <definedName name="_xlchart.v1.8" hidden="1">工作表1!$L$14:$L$15</definedName>
    <definedName name="_xlchart.v1.9" hidden="1">工作表1!$M$14:$M$15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L12" i="1" s="1"/>
  <c r="J11" i="1"/>
  <c r="L11" i="1" s="1"/>
  <c r="J10" i="1"/>
  <c r="J9" i="1"/>
  <c r="K9" i="1" s="1"/>
  <c r="J8" i="1"/>
  <c r="L8" i="1" s="1"/>
  <c r="J7" i="1"/>
  <c r="J6" i="1"/>
  <c r="J5" i="1"/>
  <c r="K5" i="1" s="1"/>
  <c r="J4" i="1"/>
  <c r="J3" i="1"/>
  <c r="L3" i="1"/>
  <c r="L4" i="1"/>
  <c r="L10" i="1"/>
  <c r="K6" i="1"/>
  <c r="K7" i="1"/>
  <c r="K13" i="1"/>
  <c r="K14" i="1"/>
  <c r="K15" i="1"/>
  <c r="J2" i="1"/>
  <c r="K2" i="1" s="1"/>
  <c r="H17" i="1"/>
  <c r="D17" i="1"/>
  <c r="C17" i="1"/>
  <c r="L5" i="1"/>
  <c r="L6" i="1"/>
  <c r="L7" i="1"/>
  <c r="L13" i="1"/>
  <c r="L14" i="1"/>
  <c r="L15" i="1"/>
  <c r="K11" i="1"/>
  <c r="K1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K8" i="1" l="1"/>
  <c r="L9" i="1"/>
  <c r="K3" i="1"/>
  <c r="K4" i="1"/>
  <c r="K10" i="1"/>
  <c r="J17" i="1"/>
  <c r="L2" i="1"/>
  <c r="M15" i="1" l="1"/>
  <c r="M14" i="1"/>
</calcChain>
</file>

<file path=xl/sharedStrings.xml><?xml version="1.0" encoding="utf-8"?>
<sst xmlns="http://schemas.openxmlformats.org/spreadsheetml/2006/main" count="32" uniqueCount="32">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</sst>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0.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189" fontId="0" fillId="0" borderId="0" xfId="0" applyNumberFormat="1">
      <alignment vertical="center"/>
    </xf>
  </cellXfs>
  <cellStyles count="1">
    <cellStyle name="一般" xfId="0" builtinId="0"/>
  </cellStyles>
  <dxfs count="2">
    <dxf>
      <font>
        <color rgb="FF9C0006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Students' Overall Scores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8-46A3-A84F-E6F921DAC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754223"/>
        <c:axId val="1089770543"/>
      </c:barChart>
      <c:catAx>
        <c:axId val="10897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770543"/>
        <c:crosses val="autoZero"/>
        <c:auto val="1"/>
        <c:lblAlgn val="ctr"/>
        <c:lblOffset val="100"/>
        <c:noMultiLvlLbl val="0"/>
      </c:catAx>
      <c:valAx>
        <c:axId val="10897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75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Pass/Fail Distribution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工作表1!$L$14:$L$15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工作表1!$M$14:$M$15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7-40C0-85BD-CB62BDE6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01597706636177"/>
          <c:y val="0.87561831972934945"/>
          <c:w val="0.20560498687664039"/>
          <c:h val="0.10127369495479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315057</xdr:colOff>
      <xdr:row>24</xdr:row>
      <xdr:rowOff>65290</xdr:rowOff>
    </xdr:from>
    <xdr:to>
      <xdr:col>10</xdr:col>
      <xdr:colOff>18724</xdr:colOff>
      <xdr:row>36</xdr:row>
      <xdr:rowOff>170798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93F8361-D734-C845-7BC3-F3D8BA748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13840</xdr:colOff>
      <xdr:row>16</xdr:row>
      <xdr:rowOff>8304</xdr:rowOff>
    </xdr:from>
    <xdr:to>
      <xdr:col>16</xdr:col>
      <xdr:colOff>539750</xdr:colOff>
      <xdr:row>28</xdr:row>
      <xdr:rowOff>113812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BDA7784-89A4-72D2-21CA-7B94891CF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M24"/>
  <sheetViews>
    <sheetView tabSelected="1" zoomScale="65" workbookViewId="0">
      <selection activeCell="K2" sqref="K2"/>
    </sheetView>
  </sheetViews>
  <sheetFormatPr defaultRowHeight="17"/>
  <cols>
    <col min="3" max="4" width="13" bestFit="1" customWidth="1"/>
    <col min="8" max="8" width="18.6328125" bestFit="1" customWidth="1"/>
    <col min="10" max="10" width="16.08984375" bestFit="1" customWidth="1"/>
    <col min="11" max="11" width="24.1796875" customWidth="1"/>
    <col min="12" max="12" width="23" customWidth="1"/>
  </cols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3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AVERAGE(H2:I2)</f>
        <v>91.7</v>
      </c>
      <c r="K2" t="str">
        <f>IF(J2&gt;=90,"A",IF(J2&gt;=80,"B",IF(J2&gt;=70,"C",IF(J2&gt;=60,"D","F"))))</f>
        <v>A</v>
      </c>
      <c r="L2" t="str">
        <f>IF(J2&gt;=60,"Pass","Fail")</f>
        <v>Pass</v>
      </c>
    </row>
    <row r="3" spans="1:13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AVERAGE(H3:I3)</f>
        <v>90</v>
      </c>
      <c r="K3" t="str">
        <f t="shared" ref="K3:K15" si="2">IF(J3&gt;=90,"A",IF(J3&gt;=80,"B",IF(J3&gt;=70,"C",IF(J3&gt;=60,"D","F"))))</f>
        <v>A</v>
      </c>
      <c r="L3" t="str">
        <f t="shared" ref="L3:L15" si="3">IF(J3&gt;=60,"Pass","Fail")</f>
        <v>Pass</v>
      </c>
    </row>
    <row r="4" spans="1:13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t="str">
        <f t="shared" si="2"/>
        <v>B</v>
      </c>
      <c r="L4" t="str">
        <f t="shared" si="3"/>
        <v>Pass</v>
      </c>
    </row>
    <row r="5" spans="1:13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t="str">
        <f t="shared" si="2"/>
        <v>B</v>
      </c>
      <c r="L5" t="str">
        <f t="shared" si="3"/>
        <v>Pass</v>
      </c>
    </row>
    <row r="6" spans="1:13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t="str">
        <f t="shared" si="2"/>
        <v>B</v>
      </c>
      <c r="L6" t="str">
        <f t="shared" si="3"/>
        <v>Pass</v>
      </c>
    </row>
    <row r="7" spans="1:13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t="str">
        <f t="shared" si="2"/>
        <v>B</v>
      </c>
      <c r="L7" t="str">
        <f t="shared" si="3"/>
        <v>Pass</v>
      </c>
    </row>
    <row r="8" spans="1:13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t="str">
        <f t="shared" si="2"/>
        <v>C</v>
      </c>
      <c r="L8" t="str">
        <f t="shared" si="3"/>
        <v>Pass</v>
      </c>
    </row>
    <row r="9" spans="1:13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t="str">
        <f t="shared" si="2"/>
        <v>C</v>
      </c>
      <c r="L9" t="str">
        <f t="shared" si="3"/>
        <v>Pass</v>
      </c>
    </row>
    <row r="10" spans="1:13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t="str">
        <f t="shared" si="2"/>
        <v>C</v>
      </c>
      <c r="L10" t="str">
        <f t="shared" si="3"/>
        <v>Pass</v>
      </c>
    </row>
    <row r="11" spans="1:13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t="str">
        <f t="shared" si="2"/>
        <v>C</v>
      </c>
      <c r="L11" t="str">
        <f t="shared" si="3"/>
        <v>Pass</v>
      </c>
    </row>
    <row r="12" spans="1:13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t="str">
        <f t="shared" si="2"/>
        <v>B</v>
      </c>
      <c r="L12" t="str">
        <f t="shared" si="3"/>
        <v>Pass</v>
      </c>
    </row>
    <row r="13" spans="1:13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t="str">
        <f t="shared" si="2"/>
        <v>F</v>
      </c>
      <c r="L13" t="str">
        <f t="shared" si="3"/>
        <v>Fail</v>
      </c>
    </row>
    <row r="14" spans="1:13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t="str">
        <f t="shared" si="2"/>
        <v>D</v>
      </c>
      <c r="L14" t="str">
        <f t="shared" si="3"/>
        <v>Pass</v>
      </c>
      <c r="M14">
        <f>COUNTIF(L2:L15,"Pass")</f>
        <v>12</v>
      </c>
    </row>
    <row r="15" spans="1:13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t="str">
        <f t="shared" si="2"/>
        <v>F</v>
      </c>
      <c r="L15" t="str">
        <f t="shared" si="3"/>
        <v>Fail</v>
      </c>
      <c r="M15">
        <f>COUNTIF(L2:L15,"Fail")</f>
        <v>2</v>
      </c>
    </row>
    <row r="16" spans="1:13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0">
      <c r="C17">
        <f>MAX(C2:C15)</f>
        <v>98</v>
      </c>
      <c r="D17">
        <f>MAX(D2:D15,2)</f>
        <v>96</v>
      </c>
      <c r="H17">
        <f>COUNTIF(H2:H15,"&lt;80")</f>
        <v>8</v>
      </c>
      <c r="J17" s="5">
        <f>AVERAGE(J2:J15)</f>
        <v>76.871428571428581</v>
      </c>
    </row>
    <row r="24" spans="3:10">
      <c r="J24" s="4" t="s">
        <v>30</v>
      </c>
    </row>
  </sheetData>
  <phoneticPr fontId="2" type="noConversion"/>
  <conditionalFormatting sqref="L2:L15">
    <cfRule type="containsText" dxfId="0" priority="2" operator="containsText" text="Fail">
      <formula>NOT(ISERROR(SEARCH("Fail",L2)))</formula>
    </cfRule>
    <cfRule type="containsText" dxfId="1" priority="1" operator="containsText" text="Pass">
      <formula>NOT(ISERROR(SEARCH("Pass",L2)))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Rex Hsu</cp:lastModifiedBy>
  <dcterms:created xsi:type="dcterms:W3CDTF">2023-10-19T05:27:10Z</dcterms:created>
  <dcterms:modified xsi:type="dcterms:W3CDTF">2025-10-09T14:28:58Z</dcterms:modified>
</cp:coreProperties>
</file>